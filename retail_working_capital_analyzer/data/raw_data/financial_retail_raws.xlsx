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m\Documents\retail_working_capital_analyzer\data\raw_data\"/>
    </mc:Choice>
  </mc:AlternateContent>
  <xr:revisionPtr revIDLastSave="0" documentId="13_ncr:1_{62DC2507-AAFF-4455-B01E-30F9B21EF3CB}" xr6:coauthVersionLast="47" xr6:coauthVersionMax="47" xr10:uidLastSave="{00000000-0000-0000-0000-000000000000}"/>
  <bookViews>
    <workbookView xWindow="-120" yWindow="-120" windowWidth="29040" windowHeight="15720" tabRatio="538" activeTab="1" xr2:uid="{7401A3A0-D628-4614-B13E-5326578802EF}"/>
  </bookViews>
  <sheets>
    <sheet name="raw_data" sheetId="1" r:id="rId1"/>
    <sheet name="cleaned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2" i="1" l="1"/>
  <c r="L22" i="1"/>
  <c r="P22" i="1"/>
  <c r="U22" i="1" s="1"/>
  <c r="Q22" i="1"/>
  <c r="R22" i="1"/>
  <c r="S22" i="1"/>
  <c r="T22" i="1"/>
  <c r="K23" i="1"/>
  <c r="L23" i="1"/>
  <c r="P23" i="1"/>
  <c r="Q23" i="1"/>
  <c r="R23" i="1"/>
  <c r="S23" i="1"/>
  <c r="T23" i="1"/>
  <c r="U23" i="1"/>
  <c r="K24" i="1"/>
  <c r="L24" i="1"/>
  <c r="P24" i="1"/>
  <c r="Q24" i="1"/>
  <c r="R24" i="1"/>
  <c r="S24" i="1"/>
  <c r="T24" i="1"/>
  <c r="U24" i="1"/>
  <c r="V24" i="1"/>
  <c r="K25" i="1"/>
  <c r="L25" i="1"/>
  <c r="P25" i="1"/>
  <c r="U25" i="1" s="1"/>
  <c r="Q25" i="1"/>
  <c r="S25" i="1" s="1"/>
  <c r="V25" i="1" s="1"/>
  <c r="R25" i="1"/>
  <c r="T25" i="1"/>
  <c r="K26" i="1"/>
  <c r="L26" i="1"/>
  <c r="P26" i="1"/>
  <c r="Q26" i="1"/>
  <c r="R26" i="1"/>
  <c r="S26" i="1"/>
  <c r="T26" i="1"/>
  <c r="U26" i="1"/>
  <c r="P7" i="1"/>
  <c r="U7" i="1" s="1"/>
  <c r="Q7" i="1"/>
  <c r="R7" i="1"/>
  <c r="T7" i="1" s="1"/>
  <c r="S7" i="1"/>
  <c r="P8" i="1"/>
  <c r="U8" i="1" s="1"/>
  <c r="Q8" i="1"/>
  <c r="R8" i="1"/>
  <c r="T8" i="1" s="1"/>
  <c r="S8" i="1"/>
  <c r="P9" i="1"/>
  <c r="U9" i="1" s="1"/>
  <c r="Q9" i="1"/>
  <c r="S9" i="1" s="1"/>
  <c r="R9" i="1"/>
  <c r="T9" i="1" s="1"/>
  <c r="P10" i="1"/>
  <c r="U10" i="1" s="1"/>
  <c r="Q10" i="1"/>
  <c r="R10" i="1"/>
  <c r="T10" i="1" s="1"/>
  <c r="S10" i="1"/>
  <c r="P11" i="1"/>
  <c r="U11" i="1" s="1"/>
  <c r="Q11" i="1"/>
  <c r="S11" i="1" s="1"/>
  <c r="R11" i="1"/>
  <c r="T11" i="1" s="1"/>
  <c r="P12" i="1"/>
  <c r="U12" i="1" s="1"/>
  <c r="Q12" i="1"/>
  <c r="S12" i="1" s="1"/>
  <c r="R12" i="1"/>
  <c r="T12" i="1" s="1"/>
  <c r="P13" i="1"/>
  <c r="U13" i="1" s="1"/>
  <c r="Q13" i="1"/>
  <c r="S13" i="1" s="1"/>
  <c r="R13" i="1"/>
  <c r="T13" i="1" s="1"/>
  <c r="P14" i="1"/>
  <c r="U14" i="1" s="1"/>
  <c r="Q14" i="1"/>
  <c r="S14" i="1" s="1"/>
  <c r="R14" i="1"/>
  <c r="T14" i="1" s="1"/>
  <c r="P15" i="1"/>
  <c r="U15" i="1" s="1"/>
  <c r="Q15" i="1"/>
  <c r="R15" i="1"/>
  <c r="T15" i="1" s="1"/>
  <c r="S15" i="1"/>
  <c r="P16" i="1"/>
  <c r="U16" i="1" s="1"/>
  <c r="Q16" i="1"/>
  <c r="R16" i="1"/>
  <c r="T16" i="1" s="1"/>
  <c r="S16" i="1"/>
  <c r="P17" i="1"/>
  <c r="U17" i="1" s="1"/>
  <c r="Q17" i="1"/>
  <c r="S17" i="1" s="1"/>
  <c r="R17" i="1"/>
  <c r="T17" i="1" s="1"/>
  <c r="P18" i="1"/>
  <c r="U18" i="1" s="1"/>
  <c r="Q18" i="1"/>
  <c r="S18" i="1" s="1"/>
  <c r="R18" i="1"/>
  <c r="T18" i="1" s="1"/>
  <c r="P19" i="1"/>
  <c r="U19" i="1" s="1"/>
  <c r="Q19" i="1"/>
  <c r="R19" i="1"/>
  <c r="T19" i="1" s="1"/>
  <c r="S19" i="1"/>
  <c r="P20" i="1"/>
  <c r="U20" i="1" s="1"/>
  <c r="Q20" i="1"/>
  <c r="R20" i="1"/>
  <c r="T20" i="1" s="1"/>
  <c r="S20" i="1"/>
  <c r="P21" i="1"/>
  <c r="U21" i="1" s="1"/>
  <c r="Q21" i="1"/>
  <c r="S21" i="1" s="1"/>
  <c r="R21" i="1"/>
  <c r="T21" i="1" s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P6" i="1"/>
  <c r="U6" i="1" s="1"/>
  <c r="Q6" i="1"/>
  <c r="S6" i="1" s="1"/>
  <c r="R6" i="1"/>
  <c r="T6" i="1" s="1"/>
  <c r="K6" i="1"/>
  <c r="L6" i="1"/>
  <c r="P5" i="1"/>
  <c r="Q5" i="1"/>
  <c r="R5" i="1"/>
  <c r="S5" i="1"/>
  <c r="T5" i="1"/>
  <c r="U5" i="1"/>
  <c r="V5" i="1" s="1"/>
  <c r="K5" i="1"/>
  <c r="L5" i="1"/>
  <c r="P4" i="1"/>
  <c r="U4" i="1" s="1"/>
  <c r="Q4" i="1"/>
  <c r="S4" i="1" s="1"/>
  <c r="R4" i="1"/>
  <c r="T4" i="1"/>
  <c r="K4" i="1"/>
  <c r="L4" i="1"/>
  <c r="K3" i="1"/>
  <c r="L3" i="1"/>
  <c r="P3" i="1"/>
  <c r="U3" i="1" s="1"/>
  <c r="Q3" i="1"/>
  <c r="S3" i="1" s="1"/>
  <c r="R3" i="1"/>
  <c r="T3" i="1"/>
  <c r="R2" i="1"/>
  <c r="T2" i="1" s="1"/>
  <c r="Q2" i="1"/>
  <c r="S2" i="1" s="1"/>
  <c r="P2" i="1"/>
  <c r="U2" i="1" s="1"/>
  <c r="L2" i="1"/>
  <c r="K2" i="1"/>
  <c r="V22" i="1" l="1"/>
  <c r="V23" i="1"/>
  <c r="V26" i="1"/>
  <c r="V6" i="1"/>
  <c r="V2" i="1"/>
  <c r="V7" i="1"/>
  <c r="V16" i="1"/>
  <c r="V4" i="1"/>
  <c r="V21" i="1"/>
  <c r="V20" i="1"/>
  <c r="V19" i="1"/>
  <c r="V18" i="1"/>
  <c r="V17" i="1"/>
  <c r="V15" i="1"/>
  <c r="V14" i="1"/>
  <c r="V13" i="1"/>
  <c r="V12" i="1"/>
  <c r="V11" i="1"/>
  <c r="V10" i="1"/>
  <c r="V9" i="1"/>
  <c r="V8" i="1"/>
  <c r="V3" i="1"/>
</calcChain>
</file>

<file path=xl/sharedStrings.xml><?xml version="1.0" encoding="utf-8"?>
<sst xmlns="http://schemas.openxmlformats.org/spreadsheetml/2006/main" count="138" uniqueCount="32">
  <si>
    <t>company</t>
  </si>
  <si>
    <t>ticker</t>
  </si>
  <si>
    <t>fiscal_year</t>
  </si>
  <si>
    <t>revenue</t>
  </si>
  <si>
    <t>cogs</t>
  </si>
  <si>
    <t>receivable_accounts</t>
  </si>
  <si>
    <t>inventory</t>
  </si>
  <si>
    <t>current_assets</t>
  </si>
  <si>
    <t>current_liabilities</t>
  </si>
  <si>
    <t>payable_accounts</t>
  </si>
  <si>
    <t>Walmart</t>
  </si>
  <si>
    <t>WMT</t>
  </si>
  <si>
    <t>working_capital</t>
  </si>
  <si>
    <t>current_ratio</t>
  </si>
  <si>
    <t>dpo</t>
  </si>
  <si>
    <t>dio</t>
  </si>
  <si>
    <t>receivables_start</t>
  </si>
  <si>
    <t>inventory_start</t>
  </si>
  <si>
    <t>payable_accounts_start</t>
  </si>
  <si>
    <t>avg_receivables</t>
  </si>
  <si>
    <t>avg_inventory</t>
  </si>
  <si>
    <t>avg_payable_accounts</t>
  </si>
  <si>
    <t>dso</t>
  </si>
  <si>
    <t>cash_conversion_cycle</t>
  </si>
  <si>
    <t>Target</t>
  </si>
  <si>
    <t>TGT</t>
  </si>
  <si>
    <t>Costco</t>
  </si>
  <si>
    <t>COST</t>
  </si>
  <si>
    <t>Home Depot</t>
  </si>
  <si>
    <t>HD</t>
  </si>
  <si>
    <t>Best Buy</t>
  </si>
  <si>
    <t>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</si>
</sst>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vertical="center" wrapText="1"/>
    </xf>
    <xf numFmtId="3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7FC1-A4E3-4B48-BAAF-21F55A3829BB}">
  <dimension ref="A1:V26"/>
  <sheetViews>
    <sheetView topLeftCell="G1" workbookViewId="0">
      <selection activeCell="S2" sqref="S2:V26"/>
    </sheetView>
  </sheetViews>
  <sheetFormatPr defaultRowHeight="15"/>
  <cols>
    <col min="1" max="1" width="11.7109375" bestFit="1" customWidth="1"/>
    <col min="2" max="2" width="7" customWidth="1"/>
    <col min="3" max="3" width="10.42578125" bestFit="1" customWidth="1"/>
    <col min="4" max="4" width="8" bestFit="1" customWidth="1"/>
    <col min="5" max="5" width="7.5703125" bestFit="1" customWidth="1"/>
    <col min="6" max="6" width="19.42578125" bestFit="1" customWidth="1"/>
    <col min="7" max="7" width="9.140625" bestFit="1" customWidth="1"/>
    <col min="8" max="8" width="17.42578125" bestFit="1" customWidth="1"/>
    <col min="9" max="9" width="14.140625" bestFit="1" customWidth="1"/>
    <col min="10" max="10" width="16.7109375" bestFit="1" customWidth="1"/>
    <col min="11" max="11" width="13.85546875" bestFit="1" customWidth="1"/>
    <col min="12" max="12" width="12.42578125" bestFit="1" customWidth="1"/>
    <col min="13" max="13" width="16" bestFit="1" customWidth="1"/>
    <col min="14" max="14" width="14" bestFit="1" customWidth="1"/>
    <col min="15" max="15" width="22.28515625" bestFit="1" customWidth="1"/>
    <col min="16" max="16" width="15" bestFit="1" customWidth="1"/>
    <col min="17" max="17" width="12.85546875" bestFit="1" customWidth="1"/>
    <col min="18" max="18" width="21.140625" bestFit="1" customWidth="1"/>
    <col min="19" max="19" width="12.85546875" bestFit="1" customWidth="1"/>
    <col min="20" max="20" width="21.140625" bestFit="1" customWidth="1"/>
    <col min="22" max="22" width="21.570312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9</v>
      </c>
      <c r="I1" s="6" t="s">
        <v>7</v>
      </c>
      <c r="J1" s="6" t="s">
        <v>8</v>
      </c>
      <c r="K1" s="7" t="s">
        <v>12</v>
      </c>
      <c r="L1" s="6" t="s">
        <v>13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15</v>
      </c>
      <c r="T1" s="6" t="s">
        <v>14</v>
      </c>
      <c r="U1" s="6" t="s">
        <v>22</v>
      </c>
      <c r="V1" s="6" t="s">
        <v>23</v>
      </c>
    </row>
    <row r="2" spans="1:22">
      <c r="A2" t="s">
        <v>10</v>
      </c>
      <c r="B2" t="s">
        <v>11</v>
      </c>
      <c r="C2" s="1">
        <v>2025</v>
      </c>
      <c r="D2" s="3">
        <v>680985</v>
      </c>
      <c r="E2" s="3">
        <v>511753</v>
      </c>
      <c r="F2" s="3">
        <v>9975</v>
      </c>
      <c r="G2" s="3">
        <v>56435</v>
      </c>
      <c r="H2" s="3">
        <v>58666</v>
      </c>
      <c r="I2" s="3">
        <v>79458</v>
      </c>
      <c r="J2" s="3">
        <v>96584</v>
      </c>
      <c r="K2" s="4">
        <f>I2-J2</f>
        <v>-17126</v>
      </c>
      <c r="L2" s="5">
        <f>I2/J2</f>
        <v>0.82268284602004471</v>
      </c>
      <c r="M2" s="4">
        <v>8796</v>
      </c>
      <c r="N2" s="4">
        <v>54892</v>
      </c>
      <c r="O2" s="4">
        <v>56812</v>
      </c>
      <c r="P2">
        <f>(F2+M2)/2</f>
        <v>9385.5</v>
      </c>
      <c r="Q2">
        <f>(G2+N2)/2</f>
        <v>55663.5</v>
      </c>
      <c r="R2">
        <f>(H2+O2)/2</f>
        <v>57739</v>
      </c>
      <c r="S2" s="5">
        <f>Q2/E2*365</f>
        <v>39.701140003087431</v>
      </c>
      <c r="T2" s="5">
        <f>R2/E2*365</f>
        <v>41.181458633364144</v>
      </c>
      <c r="U2" s="5">
        <f>P2/D2*365</f>
        <v>5.0305182933544792</v>
      </c>
      <c r="V2" s="5">
        <f>U2+S2-T2</f>
        <v>3.5501996630777626</v>
      </c>
    </row>
    <row r="3" spans="1:22">
      <c r="A3" t="s">
        <v>10</v>
      </c>
      <c r="B3" t="s">
        <v>11</v>
      </c>
      <c r="C3">
        <v>2024</v>
      </c>
      <c r="D3" s="4">
        <v>648125</v>
      </c>
      <c r="E3" s="4">
        <v>490142</v>
      </c>
      <c r="F3" s="4">
        <v>8796</v>
      </c>
      <c r="G3" s="4">
        <v>54892</v>
      </c>
      <c r="H3" s="4">
        <v>56812</v>
      </c>
      <c r="I3" s="4">
        <v>76877</v>
      </c>
      <c r="J3" s="4">
        <v>92415</v>
      </c>
      <c r="K3" s="4">
        <f>I3-J3</f>
        <v>-15538</v>
      </c>
      <c r="L3" s="5">
        <f>I3/J3</f>
        <v>0.83186712113834338</v>
      </c>
      <c r="M3" s="4">
        <v>7933</v>
      </c>
      <c r="N3" s="4">
        <v>56576</v>
      </c>
      <c r="O3" s="4">
        <v>53742</v>
      </c>
      <c r="P3">
        <f>(F3+M3)/2</f>
        <v>8364.5</v>
      </c>
      <c r="Q3">
        <f>(G3+N3)/2</f>
        <v>55734</v>
      </c>
      <c r="R3">
        <f>(H3+O3)/2</f>
        <v>55277</v>
      </c>
      <c r="S3" s="5">
        <f>Q3/E3*365</f>
        <v>41.504115133981578</v>
      </c>
      <c r="T3" s="5">
        <f>R3/E3*365</f>
        <v>41.163795389907413</v>
      </c>
      <c r="U3" s="5">
        <f>P3/D3*365</f>
        <v>4.7105766634522661</v>
      </c>
      <c r="V3" s="5">
        <f>U3+S3-T3</f>
        <v>5.0508964075264302</v>
      </c>
    </row>
    <row r="4" spans="1:22">
      <c r="A4" s="1" t="s">
        <v>10</v>
      </c>
      <c r="B4" s="1" t="s">
        <v>11</v>
      </c>
      <c r="C4" s="1">
        <v>2023</v>
      </c>
      <c r="D4" s="3">
        <v>611289</v>
      </c>
      <c r="E4" s="3">
        <v>463721</v>
      </c>
      <c r="F4" s="3">
        <v>7933</v>
      </c>
      <c r="G4" s="3">
        <v>56576</v>
      </c>
      <c r="H4" s="3">
        <v>53742</v>
      </c>
      <c r="I4" s="3">
        <v>75655</v>
      </c>
      <c r="J4" s="3">
        <v>92198</v>
      </c>
      <c r="K4" s="4">
        <f>I4-J4</f>
        <v>-16543</v>
      </c>
      <c r="L4" s="5">
        <f>I4/J4</f>
        <v>0.82057094513980777</v>
      </c>
      <c r="M4" s="3">
        <v>8280</v>
      </c>
      <c r="N4" s="3">
        <v>56511</v>
      </c>
      <c r="O4" s="3">
        <v>55261</v>
      </c>
      <c r="P4">
        <f>(F4+M4)/2</f>
        <v>8106.5</v>
      </c>
      <c r="Q4">
        <f>(G4+N4)/2</f>
        <v>56543.5</v>
      </c>
      <c r="R4">
        <f>(H4+O4)/2</f>
        <v>54501.5</v>
      </c>
      <c r="S4" s="5">
        <f>Q4/E4*365</f>
        <v>44.506023018150998</v>
      </c>
      <c r="T4" s="5">
        <f>R4/E4*365</f>
        <v>42.898741915936519</v>
      </c>
      <c r="U4" s="5">
        <f>P4/D4*365</f>
        <v>4.8403823723312547</v>
      </c>
      <c r="V4" s="5">
        <f>U4+S4-T4</f>
        <v>6.4476634745457346</v>
      </c>
    </row>
    <row r="5" spans="1:22">
      <c r="A5" s="1" t="s">
        <v>10</v>
      </c>
      <c r="B5" s="1" t="s">
        <v>11</v>
      </c>
      <c r="C5" s="1">
        <v>2022</v>
      </c>
      <c r="D5" s="4">
        <v>572754</v>
      </c>
      <c r="E5" s="4">
        <v>429000</v>
      </c>
      <c r="F5" s="4">
        <v>8280</v>
      </c>
      <c r="G5" s="4">
        <v>56511</v>
      </c>
      <c r="H5" s="4">
        <v>55261</v>
      </c>
      <c r="I5" s="4">
        <v>81070</v>
      </c>
      <c r="J5" s="4">
        <v>87379</v>
      </c>
      <c r="K5" s="4">
        <f>I5-J5</f>
        <v>-6309</v>
      </c>
      <c r="L5" s="5">
        <f>I5/J5</f>
        <v>0.92779729683333523</v>
      </c>
      <c r="M5" s="4">
        <v>6516</v>
      </c>
      <c r="N5" s="4">
        <v>44949</v>
      </c>
      <c r="O5" s="4">
        <v>49141</v>
      </c>
      <c r="P5">
        <f>(F5+M5)/2</f>
        <v>7398</v>
      </c>
      <c r="Q5">
        <f>(G5+N5)/2</f>
        <v>50730</v>
      </c>
      <c r="R5">
        <f>(H5+O5)/2</f>
        <v>52201</v>
      </c>
      <c r="S5" s="5">
        <f>Q5/E5*365</f>
        <v>43.161888111888111</v>
      </c>
      <c r="T5" s="5">
        <f>R5/E5*365</f>
        <v>44.413438228438231</v>
      </c>
      <c r="U5" s="5">
        <f>P5/D5*365</f>
        <v>4.7145371311243576</v>
      </c>
      <c r="V5" s="5">
        <f>U5+S5-T5</f>
        <v>3.4629870145742387</v>
      </c>
    </row>
    <row r="6" spans="1:22">
      <c r="A6" t="s">
        <v>10</v>
      </c>
      <c r="B6" t="s">
        <v>11</v>
      </c>
      <c r="C6">
        <v>2021</v>
      </c>
      <c r="D6" s="4">
        <v>559151</v>
      </c>
      <c r="E6" s="4">
        <v>420315</v>
      </c>
      <c r="F6" s="4">
        <v>6516</v>
      </c>
      <c r="G6" s="4">
        <v>44949</v>
      </c>
      <c r="H6" s="4">
        <v>49141</v>
      </c>
      <c r="I6" s="4">
        <v>90067</v>
      </c>
      <c r="J6" s="4">
        <v>92645</v>
      </c>
      <c r="K6" s="4">
        <f>I6-J6</f>
        <v>-2578</v>
      </c>
      <c r="L6" s="5">
        <f>I6/J6</f>
        <v>0.97217334988396564</v>
      </c>
      <c r="M6">
        <v>6284</v>
      </c>
      <c r="N6">
        <v>44435</v>
      </c>
      <c r="O6" s="4">
        <v>46973</v>
      </c>
      <c r="P6">
        <f>(F6+M6)/2</f>
        <v>6400</v>
      </c>
      <c r="Q6">
        <f>(G6+N6)/2</f>
        <v>44692</v>
      </c>
      <c r="R6">
        <f>(H6+O6)/2</f>
        <v>48057</v>
      </c>
      <c r="S6" s="5">
        <f>Q6/E6*365</f>
        <v>38.810368414165566</v>
      </c>
      <c r="T6" s="5">
        <f>R6/E6*365</f>
        <v>41.732522037043644</v>
      </c>
      <c r="U6" s="5">
        <f>P6/D6*365</f>
        <v>4.1777623575742506</v>
      </c>
      <c r="V6" s="5">
        <f>U6+S6-T6</f>
        <v>1.2556087346961746</v>
      </c>
    </row>
    <row r="7" spans="1:22">
      <c r="A7" t="s">
        <v>24</v>
      </c>
      <c r="B7" t="s">
        <v>25</v>
      </c>
      <c r="C7">
        <v>2025</v>
      </c>
      <c r="D7" s="4">
        <v>106566</v>
      </c>
      <c r="E7" s="4">
        <v>76502</v>
      </c>
      <c r="F7" s="4">
        <v>998</v>
      </c>
      <c r="G7" s="4">
        <v>12740</v>
      </c>
      <c r="H7" s="4">
        <v>13053</v>
      </c>
      <c r="I7" s="4">
        <v>19454</v>
      </c>
      <c r="J7" s="4">
        <v>20799</v>
      </c>
      <c r="K7" s="4">
        <f t="shared" ref="K7:K26" si="0">I7-J7</f>
        <v>-1345</v>
      </c>
      <c r="L7" s="5">
        <f t="shared" ref="L7:L26" si="1">I7/J7</f>
        <v>0.93533342949180254</v>
      </c>
      <c r="M7" s="4">
        <v>891</v>
      </c>
      <c r="N7" s="4">
        <v>11886</v>
      </c>
      <c r="O7" s="4">
        <v>12098</v>
      </c>
      <c r="P7">
        <f t="shared" ref="P7:P21" si="2">(F7+M7)/2</f>
        <v>944.5</v>
      </c>
      <c r="Q7">
        <f t="shared" ref="Q7:Q21" si="3">(G7+N7)/2</f>
        <v>12313</v>
      </c>
      <c r="R7">
        <f t="shared" ref="R7:R21" si="4">(H7+O7)/2</f>
        <v>12575.5</v>
      </c>
      <c r="S7" s="5">
        <f t="shared" ref="S7:S21" si="5">Q7/E7*365</f>
        <v>58.74676479046299</v>
      </c>
      <c r="T7" s="5">
        <f t="shared" ref="T7:T21" si="6">R7/E7*365</f>
        <v>59.999183027894695</v>
      </c>
      <c r="U7" s="5">
        <f t="shared" ref="U7:U21" si="7">P7/D7*365</f>
        <v>3.2350139819454609</v>
      </c>
      <c r="V7" s="5">
        <f t="shared" ref="V7:V26" si="8">U7+S7-T7</f>
        <v>1.982595744513759</v>
      </c>
    </row>
    <row r="8" spans="1:22">
      <c r="A8" t="s">
        <v>24</v>
      </c>
      <c r="B8" t="s">
        <v>25</v>
      </c>
      <c r="C8">
        <v>2024</v>
      </c>
      <c r="D8" s="4">
        <v>107412</v>
      </c>
      <c r="E8" s="4">
        <v>77828</v>
      </c>
      <c r="F8" s="4">
        <v>891</v>
      </c>
      <c r="G8" s="4">
        <v>11886</v>
      </c>
      <c r="H8" s="4">
        <v>12098</v>
      </c>
      <c r="I8" s="4">
        <v>17498</v>
      </c>
      <c r="J8" s="4">
        <v>19304</v>
      </c>
      <c r="K8" s="4">
        <f t="shared" si="0"/>
        <v>-1806</v>
      </c>
      <c r="L8" s="5">
        <f t="shared" si="1"/>
        <v>0.90644426025694158</v>
      </c>
      <c r="M8" s="4">
        <v>1169</v>
      </c>
      <c r="N8" s="4">
        <v>13499</v>
      </c>
      <c r="O8" s="4">
        <v>13487</v>
      </c>
      <c r="P8">
        <f t="shared" si="2"/>
        <v>1030</v>
      </c>
      <c r="Q8">
        <f t="shared" si="3"/>
        <v>12692.5</v>
      </c>
      <c r="R8">
        <f t="shared" si="4"/>
        <v>12792.5</v>
      </c>
      <c r="S8" s="5">
        <f t="shared" si="5"/>
        <v>59.525652721385619</v>
      </c>
      <c r="T8" s="5">
        <f t="shared" si="6"/>
        <v>59.994635606722518</v>
      </c>
      <c r="U8" s="5">
        <f t="shared" si="7"/>
        <v>3.5000744795739771</v>
      </c>
      <c r="V8" s="5">
        <f t="shared" si="8"/>
        <v>3.0310915942370755</v>
      </c>
    </row>
    <row r="9" spans="1:22">
      <c r="A9" t="s">
        <v>24</v>
      </c>
      <c r="B9" t="s">
        <v>25</v>
      </c>
      <c r="C9">
        <v>2023</v>
      </c>
      <c r="D9" s="4">
        <v>109120</v>
      </c>
      <c r="E9" s="4">
        <v>82306</v>
      </c>
      <c r="F9" s="4">
        <v>1169</v>
      </c>
      <c r="G9" s="4">
        <v>13499</v>
      </c>
      <c r="H9" s="4">
        <v>13487</v>
      </c>
      <c r="I9" s="4">
        <v>17846</v>
      </c>
      <c r="J9" s="4">
        <v>19500</v>
      </c>
      <c r="K9" s="4">
        <f t="shared" si="0"/>
        <v>-1654</v>
      </c>
      <c r="L9" s="5">
        <f t="shared" si="1"/>
        <v>0.91517948717948716</v>
      </c>
      <c r="M9" s="4">
        <v>835</v>
      </c>
      <c r="N9" s="4">
        <v>13902</v>
      </c>
      <c r="O9" s="4">
        <v>15478</v>
      </c>
      <c r="P9">
        <f t="shared" si="2"/>
        <v>1002</v>
      </c>
      <c r="Q9">
        <f t="shared" si="3"/>
        <v>13700.5</v>
      </c>
      <c r="R9">
        <f t="shared" si="4"/>
        <v>14482.5</v>
      </c>
      <c r="S9" s="5">
        <f t="shared" si="5"/>
        <v>60.75720482103371</v>
      </c>
      <c r="T9" s="5">
        <f t="shared" si="6"/>
        <v>64.225117245401307</v>
      </c>
      <c r="U9" s="5">
        <f t="shared" si="7"/>
        <v>3.3516312316715542</v>
      </c>
      <c r="V9" s="5">
        <f t="shared" si="8"/>
        <v>-0.11628119269603587</v>
      </c>
    </row>
    <row r="10" spans="1:22">
      <c r="A10" t="s">
        <v>24</v>
      </c>
      <c r="B10" t="s">
        <v>25</v>
      </c>
      <c r="C10">
        <v>2022</v>
      </c>
      <c r="D10" s="4">
        <v>106005</v>
      </c>
      <c r="E10" s="4">
        <v>74963</v>
      </c>
      <c r="F10" s="4">
        <v>835</v>
      </c>
      <c r="G10" s="4">
        <v>13902</v>
      </c>
      <c r="H10" s="4">
        <v>15478</v>
      </c>
      <c r="I10" s="4">
        <v>21573</v>
      </c>
      <c r="J10" s="4">
        <v>21747</v>
      </c>
      <c r="K10" s="4">
        <f t="shared" si="0"/>
        <v>-174</v>
      </c>
      <c r="L10" s="5">
        <f t="shared" si="1"/>
        <v>0.99199889639950334</v>
      </c>
      <c r="M10" s="4">
        <v>631</v>
      </c>
      <c r="N10" s="4">
        <v>10653</v>
      </c>
      <c r="O10" s="4">
        <v>12859</v>
      </c>
      <c r="P10">
        <f t="shared" si="2"/>
        <v>733</v>
      </c>
      <c r="Q10">
        <f t="shared" si="3"/>
        <v>12277.5</v>
      </c>
      <c r="R10">
        <f t="shared" si="4"/>
        <v>14168.5</v>
      </c>
      <c r="S10" s="5">
        <f t="shared" si="5"/>
        <v>59.779991462454809</v>
      </c>
      <c r="T10" s="5">
        <f t="shared" si="6"/>
        <v>68.987400450889098</v>
      </c>
      <c r="U10" s="5">
        <f t="shared" si="7"/>
        <v>2.5238903825291259</v>
      </c>
      <c r="V10" s="5">
        <f t="shared" si="8"/>
        <v>-6.6835186059051637</v>
      </c>
    </row>
    <row r="11" spans="1:22">
      <c r="A11" t="s">
        <v>24</v>
      </c>
      <c r="B11" t="s">
        <v>25</v>
      </c>
      <c r="C11">
        <v>2021</v>
      </c>
      <c r="D11" s="4">
        <v>93561</v>
      </c>
      <c r="E11" s="4">
        <v>66177</v>
      </c>
      <c r="F11" s="4">
        <v>631</v>
      </c>
      <c r="G11" s="4">
        <v>10653</v>
      </c>
      <c r="H11" s="4">
        <v>12859</v>
      </c>
      <c r="I11" s="4">
        <v>20756</v>
      </c>
      <c r="J11" s="4">
        <v>20125</v>
      </c>
      <c r="K11" s="4">
        <f t="shared" si="0"/>
        <v>631</v>
      </c>
      <c r="L11" s="5">
        <f t="shared" si="1"/>
        <v>1.0313540372670806</v>
      </c>
      <c r="M11" s="4">
        <v>498</v>
      </c>
      <c r="N11" s="4">
        <v>8992</v>
      </c>
      <c r="O11" s="4">
        <v>9920</v>
      </c>
      <c r="P11">
        <f t="shared" si="2"/>
        <v>564.5</v>
      </c>
      <c r="Q11">
        <f t="shared" si="3"/>
        <v>9822.5</v>
      </c>
      <c r="R11">
        <f t="shared" si="4"/>
        <v>11389.5</v>
      </c>
      <c r="S11" s="5">
        <f t="shared" si="5"/>
        <v>54.176111035556161</v>
      </c>
      <c r="T11" s="5">
        <f t="shared" si="6"/>
        <v>62.818917448660414</v>
      </c>
      <c r="U11" s="5">
        <f t="shared" si="7"/>
        <v>2.2022263549983432</v>
      </c>
      <c r="V11" s="5">
        <f t="shared" si="8"/>
        <v>-6.4405800581059083</v>
      </c>
    </row>
    <row r="12" spans="1:22">
      <c r="A12" t="s">
        <v>26</v>
      </c>
      <c r="B12" t="s">
        <v>27</v>
      </c>
      <c r="C12">
        <v>2025</v>
      </c>
      <c r="D12" s="4">
        <v>275235</v>
      </c>
      <c r="E12" s="4">
        <v>239886</v>
      </c>
      <c r="F12" s="4">
        <v>3203</v>
      </c>
      <c r="G12" s="4">
        <v>18116</v>
      </c>
      <c r="H12" s="4">
        <v>19783</v>
      </c>
      <c r="I12" s="4">
        <v>38380</v>
      </c>
      <c r="J12" s="4">
        <v>37108</v>
      </c>
      <c r="K12" s="4">
        <f t="shared" si="0"/>
        <v>1272</v>
      </c>
      <c r="L12" s="5">
        <f t="shared" si="1"/>
        <v>1.0342783227336423</v>
      </c>
      <c r="M12" s="4">
        <v>2721</v>
      </c>
      <c r="N12" s="4">
        <v>18647</v>
      </c>
      <c r="O12" s="4">
        <v>19421</v>
      </c>
      <c r="P12">
        <f t="shared" si="2"/>
        <v>2962</v>
      </c>
      <c r="Q12">
        <f t="shared" si="3"/>
        <v>18381.5</v>
      </c>
      <c r="R12">
        <f t="shared" si="4"/>
        <v>19602</v>
      </c>
      <c r="S12" s="5">
        <f t="shared" si="5"/>
        <v>27.96848294606605</v>
      </c>
      <c r="T12" s="5">
        <f t="shared" si="6"/>
        <v>29.825542132512943</v>
      </c>
      <c r="U12" s="5">
        <f t="shared" si="7"/>
        <v>3.9280251421512524</v>
      </c>
      <c r="V12" s="5">
        <f t="shared" si="8"/>
        <v>2.0709659557043594</v>
      </c>
    </row>
    <row r="13" spans="1:22">
      <c r="A13" t="s">
        <v>26</v>
      </c>
      <c r="B13" t="s">
        <v>27</v>
      </c>
      <c r="C13">
        <v>2024</v>
      </c>
      <c r="D13" s="4">
        <v>254453</v>
      </c>
      <c r="E13" s="4">
        <v>222358</v>
      </c>
      <c r="F13" s="4">
        <v>2721</v>
      </c>
      <c r="G13" s="4">
        <v>18647</v>
      </c>
      <c r="H13" s="4">
        <v>19421</v>
      </c>
      <c r="I13" s="4">
        <v>34246</v>
      </c>
      <c r="J13" s="4">
        <v>35464</v>
      </c>
      <c r="K13" s="4">
        <f t="shared" si="0"/>
        <v>-1218</v>
      </c>
      <c r="L13" s="5">
        <f t="shared" si="1"/>
        <v>0.96565531242950597</v>
      </c>
      <c r="M13" s="4">
        <v>2285</v>
      </c>
      <c r="N13" s="4">
        <v>16651</v>
      </c>
      <c r="O13" s="4">
        <v>17483</v>
      </c>
      <c r="P13">
        <f t="shared" si="2"/>
        <v>2503</v>
      </c>
      <c r="Q13">
        <f t="shared" si="3"/>
        <v>17649</v>
      </c>
      <c r="R13">
        <f t="shared" si="4"/>
        <v>18452</v>
      </c>
      <c r="S13" s="5">
        <f t="shared" si="5"/>
        <v>28.970781352593566</v>
      </c>
      <c r="T13" s="5">
        <f t="shared" si="6"/>
        <v>30.288903479973737</v>
      </c>
      <c r="U13" s="5">
        <f t="shared" si="7"/>
        <v>3.5904273087760807</v>
      </c>
      <c r="V13" s="5">
        <f t="shared" si="8"/>
        <v>2.272305181395911</v>
      </c>
    </row>
    <row r="14" spans="1:22">
      <c r="A14" t="s">
        <v>26</v>
      </c>
      <c r="B14" t="s">
        <v>27</v>
      </c>
      <c r="C14">
        <v>2023</v>
      </c>
      <c r="D14" s="4">
        <v>242290</v>
      </c>
      <c r="E14" s="4">
        <v>212586</v>
      </c>
      <c r="F14" s="4">
        <v>2285</v>
      </c>
      <c r="G14" s="4">
        <v>16651</v>
      </c>
      <c r="H14" s="4">
        <v>17483</v>
      </c>
      <c r="I14" s="4">
        <v>35879</v>
      </c>
      <c r="J14" s="4">
        <v>33583</v>
      </c>
      <c r="K14" s="4">
        <f t="shared" si="0"/>
        <v>2296</v>
      </c>
      <c r="L14" s="5">
        <f t="shared" si="1"/>
        <v>1.0683679242473871</v>
      </c>
      <c r="M14" s="4">
        <v>2241</v>
      </c>
      <c r="N14" s="4">
        <v>17907</v>
      </c>
      <c r="O14" s="4">
        <v>17848</v>
      </c>
      <c r="P14">
        <f t="shared" si="2"/>
        <v>2263</v>
      </c>
      <c r="Q14">
        <f t="shared" si="3"/>
        <v>17279</v>
      </c>
      <c r="R14">
        <f t="shared" si="4"/>
        <v>17665.5</v>
      </c>
      <c r="S14" s="5">
        <f t="shared" si="5"/>
        <v>29.667217032165805</v>
      </c>
      <c r="T14" s="5">
        <f t="shared" si="6"/>
        <v>30.330819056758205</v>
      </c>
      <c r="U14" s="5">
        <f t="shared" si="7"/>
        <v>3.4091171736349</v>
      </c>
      <c r="V14" s="5">
        <f t="shared" si="8"/>
        <v>2.7455151490425003</v>
      </c>
    </row>
    <row r="15" spans="1:22">
      <c r="A15" t="s">
        <v>26</v>
      </c>
      <c r="B15" t="s">
        <v>27</v>
      </c>
      <c r="C15">
        <v>2022</v>
      </c>
      <c r="D15" s="4">
        <v>226954</v>
      </c>
      <c r="E15" s="4">
        <v>199382</v>
      </c>
      <c r="F15" s="4">
        <v>2241</v>
      </c>
      <c r="G15" s="4">
        <v>17907</v>
      </c>
      <c r="H15" s="4">
        <v>17848</v>
      </c>
      <c r="I15" s="4">
        <v>32696</v>
      </c>
      <c r="J15" s="4">
        <v>31998</v>
      </c>
      <c r="K15" s="4">
        <f t="shared" si="0"/>
        <v>698</v>
      </c>
      <c r="L15" s="5">
        <f t="shared" si="1"/>
        <v>1.0218138633664604</v>
      </c>
      <c r="M15" s="4">
        <v>1803</v>
      </c>
      <c r="N15" s="4">
        <v>14215</v>
      </c>
      <c r="O15" s="4">
        <v>16278</v>
      </c>
      <c r="P15">
        <f t="shared" si="2"/>
        <v>2022</v>
      </c>
      <c r="Q15">
        <f t="shared" si="3"/>
        <v>16061</v>
      </c>
      <c r="R15">
        <f t="shared" si="4"/>
        <v>17063</v>
      </c>
      <c r="S15" s="5">
        <f t="shared" si="5"/>
        <v>29.402177729183176</v>
      </c>
      <c r="T15" s="5">
        <f t="shared" si="6"/>
        <v>31.236495771935282</v>
      </c>
      <c r="U15" s="5">
        <f t="shared" si="7"/>
        <v>3.2518924539774576</v>
      </c>
      <c r="V15" s="5">
        <f t="shared" si="8"/>
        <v>1.4175744112253525</v>
      </c>
    </row>
    <row r="16" spans="1:22">
      <c r="A16" t="s">
        <v>26</v>
      </c>
      <c r="B16" t="s">
        <v>27</v>
      </c>
      <c r="C16">
        <v>2021</v>
      </c>
      <c r="D16" s="4">
        <v>195929</v>
      </c>
      <c r="E16" s="4">
        <v>170684</v>
      </c>
      <c r="F16" s="4">
        <v>1803</v>
      </c>
      <c r="G16" s="4">
        <v>14215</v>
      </c>
      <c r="H16" s="4">
        <v>16278</v>
      </c>
      <c r="I16" s="4">
        <v>29505</v>
      </c>
      <c r="J16" s="4">
        <v>29441</v>
      </c>
      <c r="K16" s="4">
        <f t="shared" si="0"/>
        <v>64</v>
      </c>
      <c r="L16" s="5">
        <f t="shared" si="1"/>
        <v>1.0021738392038313</v>
      </c>
      <c r="M16" s="4">
        <v>1550</v>
      </c>
      <c r="N16" s="4">
        <v>12242</v>
      </c>
      <c r="O16" s="4">
        <v>14172</v>
      </c>
      <c r="P16">
        <f t="shared" si="2"/>
        <v>1676.5</v>
      </c>
      <c r="Q16">
        <f t="shared" si="3"/>
        <v>13228.5</v>
      </c>
      <c r="R16">
        <f t="shared" si="4"/>
        <v>15225</v>
      </c>
      <c r="S16" s="5">
        <f t="shared" si="5"/>
        <v>28.288547842797215</v>
      </c>
      <c r="T16" s="5">
        <f t="shared" si="6"/>
        <v>32.557972627779996</v>
      </c>
      <c r="U16" s="5">
        <f t="shared" si="7"/>
        <v>3.1231849292345699</v>
      </c>
      <c r="V16" s="5">
        <f t="shared" si="8"/>
        <v>-1.1462398557482132</v>
      </c>
    </row>
    <row r="17" spans="1:22">
      <c r="A17" t="s">
        <v>28</v>
      </c>
      <c r="B17" t="s">
        <v>29</v>
      </c>
      <c r="C17">
        <v>2025</v>
      </c>
      <c r="D17" s="4">
        <v>159514</v>
      </c>
      <c r="E17" s="4">
        <v>106206</v>
      </c>
      <c r="F17" s="4">
        <v>4903</v>
      </c>
      <c r="G17" s="4">
        <v>23451</v>
      </c>
      <c r="H17" s="4">
        <v>11938</v>
      </c>
      <c r="I17" s="4">
        <v>31683</v>
      </c>
      <c r="J17" s="4">
        <v>28661</v>
      </c>
      <c r="K17" s="4">
        <f t="shared" si="0"/>
        <v>3022</v>
      </c>
      <c r="L17" s="5">
        <f t="shared" si="1"/>
        <v>1.1054394473326123</v>
      </c>
      <c r="M17" s="4">
        <v>3328</v>
      </c>
      <c r="N17" s="4">
        <v>20976</v>
      </c>
      <c r="O17" s="4">
        <v>10037</v>
      </c>
      <c r="P17">
        <f t="shared" si="2"/>
        <v>4115.5</v>
      </c>
      <c r="Q17">
        <f t="shared" si="3"/>
        <v>22213.5</v>
      </c>
      <c r="R17">
        <f t="shared" si="4"/>
        <v>10987.5</v>
      </c>
      <c r="S17" s="5">
        <f t="shared" si="5"/>
        <v>76.341520253093037</v>
      </c>
      <c r="T17" s="5">
        <f t="shared" si="6"/>
        <v>37.760931585786118</v>
      </c>
      <c r="U17" s="5">
        <f t="shared" si="7"/>
        <v>9.4170887821758598</v>
      </c>
      <c r="V17" s="5">
        <f t="shared" si="8"/>
        <v>47.997677449482786</v>
      </c>
    </row>
    <row r="18" spans="1:22">
      <c r="A18" t="s">
        <v>28</v>
      </c>
      <c r="B18" t="s">
        <v>29</v>
      </c>
      <c r="C18">
        <v>2024</v>
      </c>
      <c r="D18" s="4">
        <v>152669</v>
      </c>
      <c r="E18" s="4">
        <v>101709</v>
      </c>
      <c r="F18" s="4">
        <v>3328</v>
      </c>
      <c r="G18" s="4">
        <v>20976</v>
      </c>
      <c r="H18" s="4">
        <v>10037</v>
      </c>
      <c r="I18" s="4">
        <v>29775</v>
      </c>
      <c r="J18" s="4">
        <v>22015</v>
      </c>
      <c r="K18" s="4">
        <f t="shared" si="0"/>
        <v>7760</v>
      </c>
      <c r="L18" s="5">
        <f t="shared" si="1"/>
        <v>1.3524869407222349</v>
      </c>
      <c r="M18" s="4">
        <v>3317</v>
      </c>
      <c r="N18" s="4">
        <v>24886</v>
      </c>
      <c r="O18" s="4">
        <v>11443</v>
      </c>
      <c r="P18">
        <f t="shared" si="2"/>
        <v>3322.5</v>
      </c>
      <c r="Q18">
        <f t="shared" si="3"/>
        <v>22931</v>
      </c>
      <c r="R18">
        <f t="shared" si="4"/>
        <v>10740</v>
      </c>
      <c r="S18" s="5">
        <f t="shared" si="5"/>
        <v>82.29178342132947</v>
      </c>
      <c r="T18" s="5">
        <f t="shared" si="6"/>
        <v>38.542311889803266</v>
      </c>
      <c r="U18" s="5">
        <f t="shared" si="7"/>
        <v>7.9434102535550757</v>
      </c>
      <c r="V18" s="5">
        <f t="shared" si="8"/>
        <v>51.692881785081276</v>
      </c>
    </row>
    <row r="19" spans="1:22">
      <c r="A19" t="s">
        <v>28</v>
      </c>
      <c r="B19" t="s">
        <v>29</v>
      </c>
      <c r="C19">
        <v>2023</v>
      </c>
      <c r="D19" s="4">
        <v>157403</v>
      </c>
      <c r="E19" s="4">
        <v>104625</v>
      </c>
      <c r="F19" s="4">
        <v>3317</v>
      </c>
      <c r="G19" s="4">
        <v>24886</v>
      </c>
      <c r="H19" s="4">
        <v>11443</v>
      </c>
      <c r="I19" s="4">
        <v>32471</v>
      </c>
      <c r="J19" s="4">
        <v>23110</v>
      </c>
      <c r="K19" s="4">
        <f t="shared" si="0"/>
        <v>9361</v>
      </c>
      <c r="L19" s="5">
        <f t="shared" si="1"/>
        <v>1.4050627434011251</v>
      </c>
      <c r="M19" s="4">
        <v>3426</v>
      </c>
      <c r="N19" s="4">
        <v>22068</v>
      </c>
      <c r="O19" s="4">
        <v>13462</v>
      </c>
      <c r="P19">
        <f t="shared" si="2"/>
        <v>3371.5</v>
      </c>
      <c r="Q19">
        <f t="shared" si="3"/>
        <v>23477</v>
      </c>
      <c r="R19">
        <f t="shared" si="4"/>
        <v>12452.5</v>
      </c>
      <c r="S19" s="5">
        <f t="shared" si="5"/>
        <v>81.903034647550783</v>
      </c>
      <c r="T19" s="5">
        <f t="shared" si="6"/>
        <v>43.44241338112306</v>
      </c>
      <c r="U19" s="5">
        <f t="shared" si="7"/>
        <v>7.8181324371200036</v>
      </c>
      <c r="V19" s="5">
        <f t="shared" si="8"/>
        <v>46.278753703547721</v>
      </c>
    </row>
    <row r="20" spans="1:22">
      <c r="A20" t="s">
        <v>28</v>
      </c>
      <c r="B20" t="s">
        <v>29</v>
      </c>
      <c r="C20">
        <v>2022</v>
      </c>
      <c r="D20" s="4">
        <v>151157</v>
      </c>
      <c r="E20" s="4">
        <v>100325</v>
      </c>
      <c r="F20" s="4">
        <v>3426</v>
      </c>
      <c r="G20" s="4">
        <v>22068</v>
      </c>
      <c r="H20" s="4">
        <v>13462</v>
      </c>
      <c r="I20" s="4">
        <v>29055</v>
      </c>
      <c r="J20" s="4">
        <v>28693</v>
      </c>
      <c r="K20" s="4">
        <f t="shared" si="0"/>
        <v>362</v>
      </c>
      <c r="L20" s="5">
        <f t="shared" si="1"/>
        <v>1.012616317568745</v>
      </c>
      <c r="M20" s="4">
        <v>2992</v>
      </c>
      <c r="N20" s="4">
        <v>16627</v>
      </c>
      <c r="O20" s="4">
        <v>11606</v>
      </c>
      <c r="P20">
        <f t="shared" si="2"/>
        <v>3209</v>
      </c>
      <c r="Q20">
        <f t="shared" si="3"/>
        <v>19347.5</v>
      </c>
      <c r="R20">
        <f t="shared" si="4"/>
        <v>12534</v>
      </c>
      <c r="S20" s="5">
        <f t="shared" si="5"/>
        <v>70.389608771492647</v>
      </c>
      <c r="T20" s="5">
        <f t="shared" si="6"/>
        <v>45.600897084475456</v>
      </c>
      <c r="U20" s="5">
        <f t="shared" si="7"/>
        <v>7.7487976077852831</v>
      </c>
      <c r="V20" s="5">
        <f t="shared" si="8"/>
        <v>32.537509294802469</v>
      </c>
    </row>
    <row r="21" spans="1:22">
      <c r="A21" t="s">
        <v>28</v>
      </c>
      <c r="B21" t="s">
        <v>29</v>
      </c>
      <c r="C21">
        <v>2021</v>
      </c>
      <c r="D21" s="4">
        <v>132110</v>
      </c>
      <c r="E21" s="4">
        <v>87257</v>
      </c>
      <c r="F21" s="4">
        <v>2992</v>
      </c>
      <c r="G21" s="4">
        <v>16627</v>
      </c>
      <c r="H21" s="4">
        <v>11606</v>
      </c>
      <c r="I21" s="4">
        <v>28477</v>
      </c>
      <c r="J21" s="4">
        <v>23166</v>
      </c>
      <c r="K21" s="4">
        <f t="shared" si="0"/>
        <v>5311</v>
      </c>
      <c r="L21" s="5">
        <f t="shared" si="1"/>
        <v>1.2292583959250627</v>
      </c>
      <c r="M21" s="4">
        <v>2106</v>
      </c>
      <c r="N21" s="4">
        <v>14531</v>
      </c>
      <c r="O21" s="4">
        <v>7787</v>
      </c>
      <c r="P21">
        <f t="shared" si="2"/>
        <v>2549</v>
      </c>
      <c r="Q21">
        <f t="shared" si="3"/>
        <v>15579</v>
      </c>
      <c r="R21">
        <f t="shared" si="4"/>
        <v>9696.5</v>
      </c>
      <c r="S21" s="5">
        <f t="shared" si="5"/>
        <v>65.167665631410657</v>
      </c>
      <c r="T21" s="5">
        <f t="shared" si="6"/>
        <v>40.560900558121411</v>
      </c>
      <c r="U21" s="5">
        <f t="shared" si="7"/>
        <v>7.0425024600711525</v>
      </c>
      <c r="V21" s="5">
        <f t="shared" si="8"/>
        <v>31.649267533360394</v>
      </c>
    </row>
    <row r="22" spans="1:22">
      <c r="A22" t="s">
        <v>30</v>
      </c>
      <c r="B22" t="s">
        <v>31</v>
      </c>
      <c r="C22">
        <v>2025</v>
      </c>
      <c r="D22" s="4">
        <v>41528</v>
      </c>
      <c r="E22" s="4">
        <v>32143</v>
      </c>
      <c r="F22" s="4">
        <v>1044</v>
      </c>
      <c r="G22" s="4">
        <v>5085</v>
      </c>
      <c r="H22" s="4">
        <v>4980</v>
      </c>
      <c r="I22" s="4">
        <v>8224</v>
      </c>
      <c r="J22" s="4">
        <v>8016</v>
      </c>
      <c r="K22" s="4">
        <f t="shared" si="0"/>
        <v>208</v>
      </c>
      <c r="L22" s="5">
        <f t="shared" si="1"/>
        <v>1.0259481037924152</v>
      </c>
      <c r="M22" s="4">
        <v>939</v>
      </c>
      <c r="N22" s="4">
        <v>4958</v>
      </c>
      <c r="O22" s="4">
        <v>4637</v>
      </c>
      <c r="P22">
        <f>(F22+M22)/2</f>
        <v>991.5</v>
      </c>
      <c r="Q22">
        <f>(G22+N22)/2</f>
        <v>5021.5</v>
      </c>
      <c r="R22">
        <f>(H22+O22)/2</f>
        <v>4808.5</v>
      </c>
      <c r="S22" s="5">
        <f>Q22/E22*365</f>
        <v>57.021668792583142</v>
      </c>
      <c r="T22" s="5">
        <f>R22/E22*365</f>
        <v>54.602946209127957</v>
      </c>
      <c r="U22" s="5">
        <f>P22/D22*365</f>
        <v>8.7145419957618948</v>
      </c>
      <c r="V22" s="5">
        <f t="shared" si="8"/>
        <v>11.133264579217077</v>
      </c>
    </row>
    <row r="23" spans="1:22">
      <c r="A23" t="s">
        <v>30</v>
      </c>
      <c r="B23" t="s">
        <v>31</v>
      </c>
      <c r="C23">
        <v>2024</v>
      </c>
      <c r="D23" s="4">
        <v>43452</v>
      </c>
      <c r="E23" s="4">
        <v>33849</v>
      </c>
      <c r="F23" s="4">
        <v>939</v>
      </c>
      <c r="G23" s="4">
        <v>4958</v>
      </c>
      <c r="H23" s="4">
        <v>4637</v>
      </c>
      <c r="I23" s="4">
        <v>7897</v>
      </c>
      <c r="J23" s="4">
        <v>7909</v>
      </c>
      <c r="K23" s="4">
        <f t="shared" si="0"/>
        <v>-12</v>
      </c>
      <c r="L23" s="5">
        <f t="shared" si="1"/>
        <v>0.99848274118093316</v>
      </c>
      <c r="M23" s="4">
        <v>1141</v>
      </c>
      <c r="N23" s="4">
        <v>5140</v>
      </c>
      <c r="O23" s="4">
        <v>5687</v>
      </c>
      <c r="P23">
        <f>(F23+M23)/2</f>
        <v>1040</v>
      </c>
      <c r="Q23">
        <f>(G23+N23)/2</f>
        <v>5049</v>
      </c>
      <c r="R23">
        <f>(H23+O23)/2</f>
        <v>5162</v>
      </c>
      <c r="S23" s="5">
        <f>Q23/E23*365</f>
        <v>54.444296729593191</v>
      </c>
      <c r="T23" s="5">
        <f>R23/E23*365</f>
        <v>55.662796537563885</v>
      </c>
      <c r="U23" s="5">
        <f>P23/D23*365</f>
        <v>8.7360765902605166</v>
      </c>
      <c r="V23" s="5">
        <f t="shared" si="8"/>
        <v>7.5175767822898223</v>
      </c>
    </row>
    <row r="24" spans="1:22">
      <c r="A24" t="s">
        <v>30</v>
      </c>
      <c r="B24" t="s">
        <v>31</v>
      </c>
      <c r="C24">
        <v>2023</v>
      </c>
      <c r="D24" s="4">
        <v>46298</v>
      </c>
      <c r="E24" s="4">
        <v>36386</v>
      </c>
      <c r="F24" s="4">
        <v>1141</v>
      </c>
      <c r="G24" s="4">
        <v>5140</v>
      </c>
      <c r="H24" s="4">
        <v>5687</v>
      </c>
      <c r="I24" s="4">
        <v>8802</v>
      </c>
      <c r="J24" s="4">
        <v>8979</v>
      </c>
      <c r="K24" s="4">
        <f t="shared" si="0"/>
        <v>-177</v>
      </c>
      <c r="L24" s="5">
        <f t="shared" si="1"/>
        <v>0.98028733711994653</v>
      </c>
      <c r="M24" s="4">
        <v>1042</v>
      </c>
      <c r="N24" s="4">
        <v>5965</v>
      </c>
      <c r="O24" s="4">
        <v>6803</v>
      </c>
      <c r="P24">
        <f>(F24+M24)/2</f>
        <v>1091.5</v>
      </c>
      <c r="Q24">
        <f>(G24+N24)/2</f>
        <v>5552.5</v>
      </c>
      <c r="R24">
        <f>(H24+O24)/2</f>
        <v>6245</v>
      </c>
      <c r="S24" s="5">
        <f>Q24/E24*365</f>
        <v>55.698963887209366</v>
      </c>
      <c r="T24" s="5">
        <f>R24/E24*365</f>
        <v>62.645660418842418</v>
      </c>
      <c r="U24" s="5">
        <f>P24/D24*365</f>
        <v>8.6050693334485278</v>
      </c>
      <c r="V24" s="5">
        <f t="shared" si="8"/>
        <v>1.6583728018154815</v>
      </c>
    </row>
    <row r="25" spans="1:22">
      <c r="A25" t="s">
        <v>30</v>
      </c>
      <c r="B25" t="s">
        <v>31</v>
      </c>
      <c r="C25">
        <v>2022</v>
      </c>
      <c r="D25" s="4">
        <v>51761</v>
      </c>
      <c r="E25" s="4">
        <v>40121</v>
      </c>
      <c r="F25" s="4">
        <v>1042</v>
      </c>
      <c r="G25" s="4">
        <v>5965</v>
      </c>
      <c r="H25" s="4">
        <v>6803</v>
      </c>
      <c r="I25" s="4">
        <v>10539</v>
      </c>
      <c r="J25" s="4">
        <v>10674</v>
      </c>
      <c r="K25" s="4">
        <f t="shared" si="0"/>
        <v>-135</v>
      </c>
      <c r="L25" s="5">
        <f t="shared" si="1"/>
        <v>0.98735244519392917</v>
      </c>
      <c r="M25" s="4">
        <v>1061</v>
      </c>
      <c r="N25" s="4">
        <v>5612</v>
      </c>
      <c r="O25" s="4">
        <v>6979</v>
      </c>
      <c r="P25">
        <f>(F25+M25)/2</f>
        <v>1051.5</v>
      </c>
      <c r="Q25">
        <f>(G25+N25)/2</f>
        <v>5788.5</v>
      </c>
      <c r="R25">
        <f>(H25+O25)/2</f>
        <v>6891</v>
      </c>
      <c r="S25" s="5">
        <f>Q25/E25*365</f>
        <v>52.660763689838234</v>
      </c>
      <c r="T25" s="5">
        <f>R25/E25*365</f>
        <v>62.690735525036764</v>
      </c>
      <c r="U25" s="5">
        <f>P25/D25*365</f>
        <v>7.4148007186878155</v>
      </c>
      <c r="V25" s="5">
        <f t="shared" si="8"/>
        <v>-2.6151711165107159</v>
      </c>
    </row>
    <row r="26" spans="1:22">
      <c r="A26" t="s">
        <v>30</v>
      </c>
      <c r="B26" t="s">
        <v>31</v>
      </c>
      <c r="C26">
        <v>2021</v>
      </c>
      <c r="D26" s="4">
        <v>47262</v>
      </c>
      <c r="E26" s="4">
        <v>36689</v>
      </c>
      <c r="F26" s="4">
        <v>1061</v>
      </c>
      <c r="G26" s="4">
        <v>5612</v>
      </c>
      <c r="H26" s="4">
        <v>6979</v>
      </c>
      <c r="I26" s="4">
        <v>12540</v>
      </c>
      <c r="J26" s="4">
        <v>10521</v>
      </c>
      <c r="K26" s="4">
        <f t="shared" si="0"/>
        <v>2019</v>
      </c>
      <c r="L26" s="5">
        <f t="shared" si="1"/>
        <v>1.1919019104647848</v>
      </c>
      <c r="M26" s="4">
        <v>1149</v>
      </c>
      <c r="N26" s="4">
        <v>5174</v>
      </c>
      <c r="O26" s="4">
        <v>5288</v>
      </c>
      <c r="P26">
        <f>(F26+M26)/2</f>
        <v>1105</v>
      </c>
      <c r="Q26">
        <f>(G26+N26)/2</f>
        <v>5393</v>
      </c>
      <c r="R26">
        <f>(H26+O26)/2</f>
        <v>6133.5</v>
      </c>
      <c r="S26" s="5">
        <f>Q26/E26*365</f>
        <v>53.652184578484018</v>
      </c>
      <c r="T26" s="5">
        <f>R26/E26*365</f>
        <v>61.019038403881275</v>
      </c>
      <c r="U26" s="5">
        <f>P26/D26*365</f>
        <v>8.5338115187677204</v>
      </c>
      <c r="V26" s="5">
        <f t="shared" si="8"/>
        <v>1.1669576933704633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76BE-B442-44EE-8F8E-54FF6F7DDF70}">
  <dimension ref="A1:P26"/>
  <sheetViews>
    <sheetView tabSelected="1" workbookViewId="0">
      <selection activeCell="S19" sqref="S19"/>
    </sheetView>
  </sheetViews>
  <sheetFormatPr defaultRowHeight="15"/>
  <cols>
    <col min="3" max="3" width="10.42578125" bestFit="1" customWidth="1"/>
    <col min="6" max="6" width="19.28515625" bestFit="1" customWidth="1"/>
    <col min="7" max="7" width="9.28515625" customWidth="1"/>
    <col min="8" max="8" width="17.28515625" bestFit="1" customWidth="1"/>
    <col min="9" max="9" width="14" bestFit="1" customWidth="1"/>
    <col min="10" max="10" width="16.5703125" bestFit="1" customWidth="1"/>
    <col min="11" max="11" width="13.85546875" bestFit="1" customWidth="1"/>
    <col min="12" max="12" width="12.28515625" bestFit="1" customWidth="1"/>
    <col min="16" max="16" width="21.5703125" bestFit="1" customWidth="1"/>
  </cols>
  <sheetData>
    <row r="1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9</v>
      </c>
      <c r="I1" s="6" t="s">
        <v>7</v>
      </c>
      <c r="J1" s="6" t="s">
        <v>8</v>
      </c>
      <c r="K1" s="7" t="s">
        <v>12</v>
      </c>
      <c r="L1" s="6" t="s">
        <v>13</v>
      </c>
      <c r="M1" s="6" t="s">
        <v>15</v>
      </c>
      <c r="N1" s="6" t="s">
        <v>14</v>
      </c>
      <c r="O1" s="6" t="s">
        <v>22</v>
      </c>
      <c r="P1" s="6" t="s">
        <v>23</v>
      </c>
    </row>
    <row r="2" spans="1:16">
      <c r="A2" t="s">
        <v>10</v>
      </c>
      <c r="B2" t="s">
        <v>11</v>
      </c>
      <c r="C2" s="1">
        <v>2025</v>
      </c>
      <c r="D2" s="3">
        <v>680985</v>
      </c>
      <c r="E2" s="3">
        <v>511753</v>
      </c>
      <c r="F2" s="3">
        <v>9975</v>
      </c>
      <c r="G2" s="3">
        <v>56435</v>
      </c>
      <c r="H2" s="3">
        <v>58666</v>
      </c>
      <c r="I2" s="3">
        <v>79458</v>
      </c>
      <c r="J2" s="3">
        <v>96584</v>
      </c>
      <c r="K2" s="4">
        <v>-17126</v>
      </c>
      <c r="L2" s="5">
        <v>0.82268284602004471</v>
      </c>
      <c r="M2" s="5">
        <v>39.701140003087431</v>
      </c>
      <c r="N2" s="5">
        <v>41.181458633364144</v>
      </c>
      <c r="O2" s="5">
        <v>5.0305182933544792</v>
      </c>
      <c r="P2" s="5">
        <v>3.5501996630777626</v>
      </c>
    </row>
    <row r="3" spans="1:16">
      <c r="A3" t="s">
        <v>10</v>
      </c>
      <c r="B3" t="s">
        <v>11</v>
      </c>
      <c r="C3">
        <v>2024</v>
      </c>
      <c r="D3" s="4">
        <v>648125</v>
      </c>
      <c r="E3" s="4">
        <v>490142</v>
      </c>
      <c r="F3" s="4">
        <v>8796</v>
      </c>
      <c r="G3" s="4">
        <v>54892</v>
      </c>
      <c r="H3" s="4">
        <v>56812</v>
      </c>
      <c r="I3" s="4">
        <v>76877</v>
      </c>
      <c r="J3" s="4">
        <v>92415</v>
      </c>
      <c r="K3" s="4">
        <v>-15538</v>
      </c>
      <c r="L3" s="5">
        <v>0.83186712113834338</v>
      </c>
      <c r="M3" s="5">
        <v>41.504115133981578</v>
      </c>
      <c r="N3" s="5">
        <v>41.163795389907413</v>
      </c>
      <c r="O3" s="5">
        <v>4.7105766634522661</v>
      </c>
      <c r="P3" s="5">
        <v>5.0508964075264302</v>
      </c>
    </row>
    <row r="4" spans="1:16">
      <c r="A4" s="1" t="s">
        <v>10</v>
      </c>
      <c r="B4" s="1" t="s">
        <v>11</v>
      </c>
      <c r="C4" s="1">
        <v>2023</v>
      </c>
      <c r="D4" s="3">
        <v>611289</v>
      </c>
      <c r="E4" s="3">
        <v>463721</v>
      </c>
      <c r="F4" s="3">
        <v>7933</v>
      </c>
      <c r="G4" s="3">
        <v>56576</v>
      </c>
      <c r="H4" s="3">
        <v>53742</v>
      </c>
      <c r="I4" s="3">
        <v>75655</v>
      </c>
      <c r="J4" s="3">
        <v>92198</v>
      </c>
      <c r="K4" s="4">
        <v>-16543</v>
      </c>
      <c r="L4" s="5">
        <v>0.82057094513980777</v>
      </c>
      <c r="M4" s="5">
        <v>44.506023018150998</v>
      </c>
      <c r="N4" s="5">
        <v>42.898741915936519</v>
      </c>
      <c r="O4" s="5">
        <v>4.8403823723312547</v>
      </c>
      <c r="P4" s="5">
        <v>6.4476634745457346</v>
      </c>
    </row>
    <row r="5" spans="1:16">
      <c r="A5" s="1" t="s">
        <v>10</v>
      </c>
      <c r="B5" s="1" t="s">
        <v>11</v>
      </c>
      <c r="C5" s="1">
        <v>2022</v>
      </c>
      <c r="D5" s="4">
        <v>572754</v>
      </c>
      <c r="E5" s="4">
        <v>429000</v>
      </c>
      <c r="F5" s="4">
        <v>8280</v>
      </c>
      <c r="G5" s="4">
        <v>56511</v>
      </c>
      <c r="H5" s="4">
        <v>55261</v>
      </c>
      <c r="I5" s="4">
        <v>81070</v>
      </c>
      <c r="J5" s="4">
        <v>87379</v>
      </c>
      <c r="K5" s="4">
        <v>-6309</v>
      </c>
      <c r="L5" s="5">
        <v>0.92779729683333523</v>
      </c>
      <c r="M5" s="5">
        <v>43.161888111888111</v>
      </c>
      <c r="N5" s="5">
        <v>44.413438228438231</v>
      </c>
      <c r="O5" s="5">
        <v>4.7145371311243576</v>
      </c>
      <c r="P5" s="5">
        <v>3.4629870145742387</v>
      </c>
    </row>
    <row r="6" spans="1:16">
      <c r="A6" t="s">
        <v>10</v>
      </c>
      <c r="B6" t="s">
        <v>11</v>
      </c>
      <c r="C6">
        <v>2021</v>
      </c>
      <c r="D6" s="4">
        <v>559151</v>
      </c>
      <c r="E6" s="4">
        <v>420315</v>
      </c>
      <c r="F6" s="4">
        <v>6516</v>
      </c>
      <c r="G6" s="4">
        <v>44949</v>
      </c>
      <c r="H6" s="4">
        <v>49141</v>
      </c>
      <c r="I6" s="4">
        <v>90067</v>
      </c>
      <c r="J6" s="4">
        <v>92645</v>
      </c>
      <c r="K6" s="4">
        <v>-2578</v>
      </c>
      <c r="L6" s="5">
        <v>0.97217334988396564</v>
      </c>
      <c r="M6" s="5">
        <v>38.810368414165566</v>
      </c>
      <c r="N6" s="5">
        <v>41.732522037043644</v>
      </c>
      <c r="O6" s="5">
        <v>4.1777623575742506</v>
      </c>
      <c r="P6" s="5">
        <v>1.2556087346961746</v>
      </c>
    </row>
    <row r="7" spans="1:16">
      <c r="A7" t="s">
        <v>24</v>
      </c>
      <c r="B7" t="s">
        <v>25</v>
      </c>
      <c r="C7">
        <v>2025</v>
      </c>
      <c r="D7" s="4">
        <v>106566</v>
      </c>
      <c r="E7" s="4">
        <v>76502</v>
      </c>
      <c r="F7" s="4">
        <v>998</v>
      </c>
      <c r="G7" s="4">
        <v>12740</v>
      </c>
      <c r="H7" s="4">
        <v>13053</v>
      </c>
      <c r="I7" s="4">
        <v>19454</v>
      </c>
      <c r="J7" s="4">
        <v>20799</v>
      </c>
      <c r="K7" s="4">
        <v>-1345</v>
      </c>
      <c r="L7" s="5">
        <v>0.93533342949180254</v>
      </c>
      <c r="M7" s="5">
        <v>58.74676479046299</v>
      </c>
      <c r="N7" s="5">
        <v>59.999183027894695</v>
      </c>
      <c r="O7" s="5">
        <v>3.2350139819454609</v>
      </c>
      <c r="P7" s="5">
        <v>1.982595744513759</v>
      </c>
    </row>
    <row r="8" spans="1:16">
      <c r="A8" t="s">
        <v>24</v>
      </c>
      <c r="B8" t="s">
        <v>25</v>
      </c>
      <c r="C8">
        <v>2024</v>
      </c>
      <c r="D8" s="4">
        <v>107412</v>
      </c>
      <c r="E8" s="4">
        <v>77828</v>
      </c>
      <c r="F8" s="4">
        <v>891</v>
      </c>
      <c r="G8" s="4">
        <v>11886</v>
      </c>
      <c r="H8" s="4">
        <v>12098</v>
      </c>
      <c r="I8" s="4">
        <v>17498</v>
      </c>
      <c r="J8" s="4">
        <v>19304</v>
      </c>
      <c r="K8" s="4">
        <v>-1806</v>
      </c>
      <c r="L8" s="5">
        <v>0.90644426025694158</v>
      </c>
      <c r="M8" s="5">
        <v>59.525652721385619</v>
      </c>
      <c r="N8" s="5">
        <v>59.994635606722518</v>
      </c>
      <c r="O8" s="5">
        <v>3.5000744795739771</v>
      </c>
      <c r="P8" s="5">
        <v>3.0310915942370755</v>
      </c>
    </row>
    <row r="9" spans="1:16">
      <c r="A9" t="s">
        <v>24</v>
      </c>
      <c r="B9" t="s">
        <v>25</v>
      </c>
      <c r="C9">
        <v>2023</v>
      </c>
      <c r="D9" s="4">
        <v>109120</v>
      </c>
      <c r="E9" s="4">
        <v>82306</v>
      </c>
      <c r="F9" s="4">
        <v>1169</v>
      </c>
      <c r="G9" s="4">
        <v>13499</v>
      </c>
      <c r="H9" s="4">
        <v>13487</v>
      </c>
      <c r="I9" s="4">
        <v>17846</v>
      </c>
      <c r="J9" s="4">
        <v>19500</v>
      </c>
      <c r="K9" s="4">
        <v>-1654</v>
      </c>
      <c r="L9" s="5">
        <v>0.91517948717948716</v>
      </c>
      <c r="M9" s="5">
        <v>60.75720482103371</v>
      </c>
      <c r="N9" s="5">
        <v>64.225117245401307</v>
      </c>
      <c r="O9" s="5">
        <v>3.3516312316715542</v>
      </c>
      <c r="P9" s="5">
        <v>-0.11628119269603587</v>
      </c>
    </row>
    <row r="10" spans="1:16">
      <c r="A10" t="s">
        <v>24</v>
      </c>
      <c r="B10" t="s">
        <v>25</v>
      </c>
      <c r="C10">
        <v>2022</v>
      </c>
      <c r="D10" s="4">
        <v>106005</v>
      </c>
      <c r="E10" s="4">
        <v>74963</v>
      </c>
      <c r="F10" s="4">
        <v>835</v>
      </c>
      <c r="G10" s="4">
        <v>13902</v>
      </c>
      <c r="H10" s="4">
        <v>15478</v>
      </c>
      <c r="I10" s="4">
        <v>21573</v>
      </c>
      <c r="J10" s="4">
        <v>21747</v>
      </c>
      <c r="K10" s="4">
        <v>-174</v>
      </c>
      <c r="L10" s="5">
        <v>0.99199889639950334</v>
      </c>
      <c r="M10" s="5">
        <v>59.779991462454809</v>
      </c>
      <c r="N10" s="5">
        <v>68.987400450889098</v>
      </c>
      <c r="O10" s="5">
        <v>2.5238903825291259</v>
      </c>
      <c r="P10" s="5">
        <v>-6.6835186059051637</v>
      </c>
    </row>
    <row r="11" spans="1:16">
      <c r="A11" t="s">
        <v>24</v>
      </c>
      <c r="B11" t="s">
        <v>25</v>
      </c>
      <c r="C11">
        <v>2021</v>
      </c>
      <c r="D11" s="4">
        <v>93561</v>
      </c>
      <c r="E11" s="4">
        <v>66177</v>
      </c>
      <c r="F11" s="4">
        <v>631</v>
      </c>
      <c r="G11" s="4">
        <v>10653</v>
      </c>
      <c r="H11" s="4">
        <v>12859</v>
      </c>
      <c r="I11" s="4">
        <v>20756</v>
      </c>
      <c r="J11" s="4">
        <v>20125</v>
      </c>
      <c r="K11" s="4">
        <v>631</v>
      </c>
      <c r="L11" s="5">
        <v>1.0313540372670806</v>
      </c>
      <c r="M11" s="5">
        <v>54.176111035556161</v>
      </c>
      <c r="N11" s="5">
        <v>62.818917448660414</v>
      </c>
      <c r="O11" s="5">
        <v>2.2022263549983432</v>
      </c>
      <c r="P11" s="5">
        <v>-6.4405800581059083</v>
      </c>
    </row>
    <row r="12" spans="1:16">
      <c r="A12" t="s">
        <v>26</v>
      </c>
      <c r="B12" t="s">
        <v>27</v>
      </c>
      <c r="C12">
        <v>2025</v>
      </c>
      <c r="D12" s="4">
        <v>275235</v>
      </c>
      <c r="E12" s="4">
        <v>239886</v>
      </c>
      <c r="F12" s="4">
        <v>3203</v>
      </c>
      <c r="G12" s="4">
        <v>18116</v>
      </c>
      <c r="H12" s="4">
        <v>19783</v>
      </c>
      <c r="I12" s="4">
        <v>38380</v>
      </c>
      <c r="J12" s="4">
        <v>37108</v>
      </c>
      <c r="K12" s="4">
        <v>1272</v>
      </c>
      <c r="L12" s="5">
        <v>1.0342783227336423</v>
      </c>
      <c r="M12" s="5">
        <v>27.96848294606605</v>
      </c>
      <c r="N12" s="5">
        <v>29.825542132512943</v>
      </c>
      <c r="O12" s="5">
        <v>3.9280251421512524</v>
      </c>
      <c r="P12" s="5">
        <v>2.0709659557043594</v>
      </c>
    </row>
    <row r="13" spans="1:16">
      <c r="A13" t="s">
        <v>26</v>
      </c>
      <c r="B13" t="s">
        <v>27</v>
      </c>
      <c r="C13">
        <v>2024</v>
      </c>
      <c r="D13" s="4">
        <v>254453</v>
      </c>
      <c r="E13" s="4">
        <v>222358</v>
      </c>
      <c r="F13" s="4">
        <v>2721</v>
      </c>
      <c r="G13" s="4">
        <v>18647</v>
      </c>
      <c r="H13" s="4">
        <v>19421</v>
      </c>
      <c r="I13" s="4">
        <v>34246</v>
      </c>
      <c r="J13" s="4">
        <v>35464</v>
      </c>
      <c r="K13" s="4">
        <v>-1218</v>
      </c>
      <c r="L13" s="5">
        <v>0.96565531242950597</v>
      </c>
      <c r="M13" s="5">
        <v>28.970781352593566</v>
      </c>
      <c r="N13" s="5">
        <v>30.288903479973737</v>
      </c>
      <c r="O13" s="5">
        <v>3.5904273087760807</v>
      </c>
      <c r="P13" s="5">
        <v>2.272305181395911</v>
      </c>
    </row>
    <row r="14" spans="1:16">
      <c r="A14" t="s">
        <v>26</v>
      </c>
      <c r="B14" t="s">
        <v>27</v>
      </c>
      <c r="C14">
        <v>2023</v>
      </c>
      <c r="D14" s="4">
        <v>242290</v>
      </c>
      <c r="E14" s="4">
        <v>212586</v>
      </c>
      <c r="F14" s="4">
        <v>2285</v>
      </c>
      <c r="G14" s="4">
        <v>16651</v>
      </c>
      <c r="H14" s="4">
        <v>17483</v>
      </c>
      <c r="I14" s="4">
        <v>35879</v>
      </c>
      <c r="J14" s="4">
        <v>33583</v>
      </c>
      <c r="K14" s="4">
        <v>2296</v>
      </c>
      <c r="L14" s="5">
        <v>1.0683679242473871</v>
      </c>
      <c r="M14" s="5">
        <v>29.667217032165805</v>
      </c>
      <c r="N14" s="5">
        <v>30.330819056758205</v>
      </c>
      <c r="O14" s="5">
        <v>3.4091171736349</v>
      </c>
      <c r="P14" s="5">
        <v>2.7455151490425003</v>
      </c>
    </row>
    <row r="15" spans="1:16">
      <c r="A15" t="s">
        <v>26</v>
      </c>
      <c r="B15" t="s">
        <v>27</v>
      </c>
      <c r="C15">
        <v>2022</v>
      </c>
      <c r="D15" s="4">
        <v>226954</v>
      </c>
      <c r="E15" s="4">
        <v>199382</v>
      </c>
      <c r="F15" s="4">
        <v>2241</v>
      </c>
      <c r="G15" s="4">
        <v>17907</v>
      </c>
      <c r="H15" s="4">
        <v>17848</v>
      </c>
      <c r="I15" s="4">
        <v>32696</v>
      </c>
      <c r="J15" s="4">
        <v>31998</v>
      </c>
      <c r="K15" s="4">
        <v>698</v>
      </c>
      <c r="L15" s="5">
        <v>1.0218138633664604</v>
      </c>
      <c r="M15" s="5">
        <v>29.402177729183176</v>
      </c>
      <c r="N15" s="5">
        <v>31.236495771935282</v>
      </c>
      <c r="O15" s="5">
        <v>3.2518924539774576</v>
      </c>
      <c r="P15" s="5">
        <v>1.4175744112253525</v>
      </c>
    </row>
    <row r="16" spans="1:16">
      <c r="A16" t="s">
        <v>26</v>
      </c>
      <c r="B16" t="s">
        <v>27</v>
      </c>
      <c r="C16">
        <v>2021</v>
      </c>
      <c r="D16" s="4">
        <v>195929</v>
      </c>
      <c r="E16" s="4">
        <v>170684</v>
      </c>
      <c r="F16" s="4">
        <v>1803</v>
      </c>
      <c r="G16" s="4">
        <v>14215</v>
      </c>
      <c r="H16" s="4">
        <v>16278</v>
      </c>
      <c r="I16" s="4">
        <v>29505</v>
      </c>
      <c r="J16" s="4">
        <v>29441</v>
      </c>
      <c r="K16" s="4">
        <v>64</v>
      </c>
      <c r="L16" s="5">
        <v>1.0021738392038313</v>
      </c>
      <c r="M16" s="5">
        <v>28.288547842797215</v>
      </c>
      <c r="N16" s="5">
        <v>32.557972627779996</v>
      </c>
      <c r="O16" s="5">
        <v>3.1231849292345699</v>
      </c>
      <c r="P16" s="5">
        <v>-1.1462398557482132</v>
      </c>
    </row>
    <row r="17" spans="1:16">
      <c r="A17" t="s">
        <v>28</v>
      </c>
      <c r="B17" t="s">
        <v>29</v>
      </c>
      <c r="C17">
        <v>2025</v>
      </c>
      <c r="D17" s="4">
        <v>159514</v>
      </c>
      <c r="E17" s="4">
        <v>106206</v>
      </c>
      <c r="F17" s="4">
        <v>4903</v>
      </c>
      <c r="G17" s="4">
        <v>23451</v>
      </c>
      <c r="H17" s="4">
        <v>11938</v>
      </c>
      <c r="I17" s="4">
        <v>31683</v>
      </c>
      <c r="J17" s="4">
        <v>28661</v>
      </c>
      <c r="K17" s="4">
        <v>3022</v>
      </c>
      <c r="L17" s="5">
        <v>1.1054394473326123</v>
      </c>
      <c r="M17" s="5">
        <v>76.341520253093037</v>
      </c>
      <c r="N17" s="5">
        <v>37.760931585786118</v>
      </c>
      <c r="O17" s="5">
        <v>9.4170887821758598</v>
      </c>
      <c r="P17" s="5">
        <v>47.997677449482786</v>
      </c>
    </row>
    <row r="18" spans="1:16">
      <c r="A18" t="s">
        <v>28</v>
      </c>
      <c r="B18" t="s">
        <v>29</v>
      </c>
      <c r="C18">
        <v>2024</v>
      </c>
      <c r="D18" s="4">
        <v>152669</v>
      </c>
      <c r="E18" s="4">
        <v>101709</v>
      </c>
      <c r="F18" s="4">
        <v>3328</v>
      </c>
      <c r="G18" s="4">
        <v>20976</v>
      </c>
      <c r="H18" s="4">
        <v>10037</v>
      </c>
      <c r="I18" s="4">
        <v>29775</v>
      </c>
      <c r="J18" s="4">
        <v>22015</v>
      </c>
      <c r="K18" s="4">
        <v>7760</v>
      </c>
      <c r="L18" s="5">
        <v>1.3524869407222349</v>
      </c>
      <c r="M18" s="5">
        <v>82.29178342132947</v>
      </c>
      <c r="N18" s="5">
        <v>38.542311889803266</v>
      </c>
      <c r="O18" s="5">
        <v>7.9434102535550757</v>
      </c>
      <c r="P18" s="5">
        <v>51.692881785081276</v>
      </c>
    </row>
    <row r="19" spans="1:16">
      <c r="A19" t="s">
        <v>28</v>
      </c>
      <c r="B19" t="s">
        <v>29</v>
      </c>
      <c r="C19">
        <v>2023</v>
      </c>
      <c r="D19" s="4">
        <v>157403</v>
      </c>
      <c r="E19" s="4">
        <v>104625</v>
      </c>
      <c r="F19" s="4">
        <v>3317</v>
      </c>
      <c r="G19" s="4">
        <v>24886</v>
      </c>
      <c r="H19" s="4">
        <v>11443</v>
      </c>
      <c r="I19" s="4">
        <v>32471</v>
      </c>
      <c r="J19" s="4">
        <v>23110</v>
      </c>
      <c r="K19" s="4">
        <v>9361</v>
      </c>
      <c r="L19" s="5">
        <v>1.4050627434011251</v>
      </c>
      <c r="M19" s="5">
        <v>81.903034647550783</v>
      </c>
      <c r="N19" s="5">
        <v>43.44241338112306</v>
      </c>
      <c r="O19" s="5">
        <v>7.8181324371200036</v>
      </c>
      <c r="P19" s="5">
        <v>46.278753703547721</v>
      </c>
    </row>
    <row r="20" spans="1:16">
      <c r="A20" t="s">
        <v>28</v>
      </c>
      <c r="B20" t="s">
        <v>29</v>
      </c>
      <c r="C20">
        <v>2022</v>
      </c>
      <c r="D20" s="4">
        <v>151157</v>
      </c>
      <c r="E20" s="4">
        <v>100325</v>
      </c>
      <c r="F20" s="4">
        <v>3426</v>
      </c>
      <c r="G20" s="4">
        <v>22068</v>
      </c>
      <c r="H20" s="4">
        <v>13462</v>
      </c>
      <c r="I20" s="4">
        <v>29055</v>
      </c>
      <c r="J20" s="4">
        <v>28693</v>
      </c>
      <c r="K20" s="4">
        <v>362</v>
      </c>
      <c r="L20" s="5">
        <v>1.012616317568745</v>
      </c>
      <c r="M20" s="5">
        <v>70.389608771492647</v>
      </c>
      <c r="N20" s="5">
        <v>45.600897084475456</v>
      </c>
      <c r="O20" s="5">
        <v>7.7487976077852831</v>
      </c>
      <c r="P20" s="5">
        <v>32.537509294802469</v>
      </c>
    </row>
    <row r="21" spans="1:16">
      <c r="A21" t="s">
        <v>28</v>
      </c>
      <c r="B21" t="s">
        <v>29</v>
      </c>
      <c r="C21">
        <v>2021</v>
      </c>
      <c r="D21" s="4">
        <v>132110</v>
      </c>
      <c r="E21" s="4">
        <v>87257</v>
      </c>
      <c r="F21" s="4">
        <v>2992</v>
      </c>
      <c r="G21" s="4">
        <v>16627</v>
      </c>
      <c r="H21" s="4">
        <v>11606</v>
      </c>
      <c r="I21" s="4">
        <v>28477</v>
      </c>
      <c r="J21" s="4">
        <v>23166</v>
      </c>
      <c r="K21" s="4">
        <v>5311</v>
      </c>
      <c r="L21" s="5">
        <v>1.2292583959250627</v>
      </c>
      <c r="M21" s="5">
        <v>65.167665631410657</v>
      </c>
      <c r="N21" s="5">
        <v>40.560900558121411</v>
      </c>
      <c r="O21" s="5">
        <v>7.0425024600711525</v>
      </c>
      <c r="P21" s="5">
        <v>31.649267533360394</v>
      </c>
    </row>
    <row r="22" spans="1:16">
      <c r="A22" t="s">
        <v>30</v>
      </c>
      <c r="B22" t="s">
        <v>31</v>
      </c>
      <c r="C22">
        <v>2025</v>
      </c>
      <c r="D22" s="4">
        <v>41528</v>
      </c>
      <c r="E22" s="4">
        <v>32143</v>
      </c>
      <c r="F22" s="4">
        <v>1044</v>
      </c>
      <c r="G22" s="4">
        <v>5085</v>
      </c>
      <c r="H22" s="4">
        <v>4980</v>
      </c>
      <c r="I22" s="4">
        <v>8224</v>
      </c>
      <c r="J22" s="4">
        <v>8016</v>
      </c>
      <c r="K22" s="4">
        <v>208</v>
      </c>
      <c r="L22" s="5">
        <v>1.0259481037924152</v>
      </c>
      <c r="M22" s="5">
        <v>57.021668792583142</v>
      </c>
      <c r="N22" s="5">
        <v>54.602946209127957</v>
      </c>
      <c r="O22" s="5">
        <v>8.7145419957618948</v>
      </c>
      <c r="P22" s="5">
        <v>11.133264579217077</v>
      </c>
    </row>
    <row r="23" spans="1:16">
      <c r="A23" t="s">
        <v>30</v>
      </c>
      <c r="B23" t="s">
        <v>31</v>
      </c>
      <c r="C23">
        <v>2024</v>
      </c>
      <c r="D23" s="4">
        <v>43452</v>
      </c>
      <c r="E23" s="4">
        <v>33849</v>
      </c>
      <c r="F23" s="4">
        <v>939</v>
      </c>
      <c r="G23" s="4">
        <v>4958</v>
      </c>
      <c r="H23" s="4">
        <v>4637</v>
      </c>
      <c r="I23" s="4">
        <v>7897</v>
      </c>
      <c r="J23" s="4">
        <v>7909</v>
      </c>
      <c r="K23" s="4">
        <v>-12</v>
      </c>
      <c r="L23" s="5">
        <v>0.99848274118093316</v>
      </c>
      <c r="M23" s="5">
        <v>54.444296729593191</v>
      </c>
      <c r="N23" s="5">
        <v>55.662796537563885</v>
      </c>
      <c r="O23" s="5">
        <v>8.7360765902605166</v>
      </c>
      <c r="P23" s="5">
        <v>7.5175767822898223</v>
      </c>
    </row>
    <row r="24" spans="1:16">
      <c r="A24" t="s">
        <v>30</v>
      </c>
      <c r="B24" t="s">
        <v>31</v>
      </c>
      <c r="C24">
        <v>2023</v>
      </c>
      <c r="D24" s="4">
        <v>46298</v>
      </c>
      <c r="E24" s="4">
        <v>36386</v>
      </c>
      <c r="F24" s="4">
        <v>1141</v>
      </c>
      <c r="G24" s="4">
        <v>5140</v>
      </c>
      <c r="H24" s="4">
        <v>5687</v>
      </c>
      <c r="I24" s="4">
        <v>8802</v>
      </c>
      <c r="J24" s="4">
        <v>8979</v>
      </c>
      <c r="K24" s="4">
        <v>-177</v>
      </c>
      <c r="L24" s="5">
        <v>0.98028733711994653</v>
      </c>
      <c r="M24" s="5">
        <v>55.698963887209366</v>
      </c>
      <c r="N24" s="5">
        <v>62.645660418842418</v>
      </c>
      <c r="O24" s="5">
        <v>8.6050693334485278</v>
      </c>
      <c r="P24" s="5">
        <v>1.6583728018154815</v>
      </c>
    </row>
    <row r="25" spans="1:16">
      <c r="A25" t="s">
        <v>30</v>
      </c>
      <c r="B25" t="s">
        <v>31</v>
      </c>
      <c r="C25">
        <v>2022</v>
      </c>
      <c r="D25" s="4">
        <v>51761</v>
      </c>
      <c r="E25" s="4">
        <v>40121</v>
      </c>
      <c r="F25" s="4">
        <v>1042</v>
      </c>
      <c r="G25" s="4">
        <v>5965</v>
      </c>
      <c r="H25" s="4">
        <v>6803</v>
      </c>
      <c r="I25" s="4">
        <v>10539</v>
      </c>
      <c r="J25" s="4">
        <v>10674</v>
      </c>
      <c r="K25" s="4">
        <v>-135</v>
      </c>
      <c r="L25" s="5">
        <v>0.98735244519392917</v>
      </c>
      <c r="M25" s="5">
        <v>52.660763689838234</v>
      </c>
      <c r="N25" s="5">
        <v>62.690735525036764</v>
      </c>
      <c r="O25" s="5">
        <v>7.4148007186878155</v>
      </c>
      <c r="P25" s="5">
        <v>-2.6151711165107159</v>
      </c>
    </row>
    <row r="26" spans="1:16">
      <c r="A26" t="s">
        <v>30</v>
      </c>
      <c r="B26" t="s">
        <v>31</v>
      </c>
      <c r="C26">
        <v>2021</v>
      </c>
      <c r="D26" s="4">
        <v>47262</v>
      </c>
      <c r="E26" s="4">
        <v>36689</v>
      </c>
      <c r="F26" s="4">
        <v>1061</v>
      </c>
      <c r="G26" s="4">
        <v>5612</v>
      </c>
      <c r="H26" s="4">
        <v>6979</v>
      </c>
      <c r="I26" s="4">
        <v>12540</v>
      </c>
      <c r="J26" s="4">
        <v>10521</v>
      </c>
      <c r="K26" s="4">
        <v>2019</v>
      </c>
      <c r="L26" s="5">
        <v>1.1919019104647848</v>
      </c>
      <c r="M26" s="5">
        <v>53.652184578484018</v>
      </c>
      <c r="N26" s="5">
        <v>61.019038403881275</v>
      </c>
      <c r="O26" s="5">
        <v>8.5338115187677204</v>
      </c>
      <c r="P26" s="5">
        <v>1.1669576933704633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356AFFD9A7594097CBB89963647BF4" ma:contentTypeVersion="5" ma:contentTypeDescription="Create a new document." ma:contentTypeScope="" ma:versionID="40106138172a33ab481846cabbb070fc">
  <xsd:schema xmlns:xsd="http://www.w3.org/2001/XMLSchema" xmlns:xs="http://www.w3.org/2001/XMLSchema" xmlns:p="http://schemas.microsoft.com/office/2006/metadata/properties" xmlns:ns3="fdda0237-07c2-438e-b8e6-0fa0b563a398" targetNamespace="http://schemas.microsoft.com/office/2006/metadata/properties" ma:root="true" ma:fieldsID="9e89d4c7c2ab9b707ea449b25d8a9366" ns3:_="">
    <xsd:import namespace="fdda0237-07c2-438e-b8e6-0fa0b563a39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a0237-07c2-438e-b8e6-0fa0b563a39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D5F143-2412-4866-B96E-245D0E29C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a0237-07c2-438e-b8e6-0fa0b563a3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9A9EA-D663-4914-9F76-155E42F096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3BBC80-496D-4F1C-90BD-33D80E4D4036}">
  <ds:schemaRefs>
    <ds:schemaRef ds:uri="http://purl.org/dc/dcmitype/"/>
    <ds:schemaRef ds:uri="http://purl.org/dc/elements/1.1/"/>
    <ds:schemaRef ds:uri="fdda0237-07c2-438e-b8e6-0fa0b563a398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Cheng</dc:creator>
  <cp:lastModifiedBy>Curtis Cheng</cp:lastModifiedBy>
  <dcterms:created xsi:type="dcterms:W3CDTF">2026-09-12T19:29:48Z</dcterms:created>
  <dcterms:modified xsi:type="dcterms:W3CDTF">2026-09-12T21:02:06Z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0x010100D0356AFFD9A7594097CBB89963647BF4</vt:lpwstr>
  </property>
</Properties>
</file>